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ulwichcollege-my.sharepoint.com/personal/robertscjf_dulwich_org_uk/Documents/Dulwich College/Year 13/"/>
    </mc:Choice>
  </mc:AlternateContent>
  <xr:revisionPtr revIDLastSave="2366" documentId="8_{2007E366-9E38-40B3-988B-FA37CB3A1A97}" xr6:coauthVersionLast="47" xr6:coauthVersionMax="47" xr10:uidLastSave="{F681AFDF-BD1F-48E5-BAE9-276A10B6377C}"/>
  <bookViews>
    <workbookView xWindow="-110" yWindow="-110" windowWidth="19420" windowHeight="10300" tabRatio="560" xr2:uid="{479EF435-065C-49BC-9307-B3852D18982D}"/>
  </bookViews>
  <sheets>
    <sheet name="Revision Timetable" sheetId="4" r:id="rId1"/>
    <sheet name="Further Maths Topics" sheetId="1" r:id="rId2"/>
    <sheet name="Physics Topics" sheetId="3" r:id="rId3"/>
    <sheet name="CS Topic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D29" i="3"/>
</calcChain>
</file>

<file path=xl/sharedStrings.xml><?xml version="1.0" encoding="utf-8"?>
<sst xmlns="http://schemas.openxmlformats.org/spreadsheetml/2006/main" count="430" uniqueCount="273">
  <si>
    <t>Week Commencing</t>
  </si>
  <si>
    <t>Subject</t>
  </si>
  <si>
    <t>Monday</t>
  </si>
  <si>
    <t>Tuesday</t>
  </si>
  <si>
    <t>Wednesday</t>
  </si>
  <si>
    <t>Thursday</t>
  </si>
  <si>
    <t>Friday</t>
  </si>
  <si>
    <t>Saturday</t>
  </si>
  <si>
    <t>Sunday</t>
  </si>
  <si>
    <t>Single Maths</t>
  </si>
  <si>
    <t>Recovery from Night out</t>
  </si>
  <si>
    <t>Further Maths</t>
  </si>
  <si>
    <t>M: 1 WPE 1
M: 6 WPE 2</t>
  </si>
  <si>
    <t>PC2: 8 Appl. of Calculus
PC1: 2 Further Vectors</t>
  </si>
  <si>
    <t>M: 4 Circular motion 1
M: 9 Circular Motion 2</t>
  </si>
  <si>
    <t>PC2: 4 Lines and Planes
PC2: 5 Simultaneous Equations and Planes</t>
  </si>
  <si>
    <t>AP: 3 Groups</t>
  </si>
  <si>
    <t>PC1: 4 Complex Numbers
PC2: 2 Powers and roots of complex numbers
PC2: 3 Complex numbers and trigonometry</t>
  </si>
  <si>
    <t>Physics</t>
  </si>
  <si>
    <t>Physics Paper: 2020 P1</t>
  </si>
  <si>
    <t>Review Physics Paper 
+ Induction Notes</t>
  </si>
  <si>
    <t>Physics Paper: 2020 P2</t>
  </si>
  <si>
    <t>Review Physics Paper
+ Physics of Sport Notes</t>
  </si>
  <si>
    <t>Physics Paper: 2020 P3</t>
  </si>
  <si>
    <t>Review Physics Paper</t>
  </si>
  <si>
    <t>Computer Science</t>
  </si>
  <si>
    <t>M: 5 Centres of Mass 1
M: 10 Centres of mass 2</t>
  </si>
  <si>
    <t>M: 2 Dimensional Analysis
M: 7 Linear motion under variable force</t>
  </si>
  <si>
    <t>PC1: 1 Matrices
PC1: 3 Applications of Matrices</t>
  </si>
  <si>
    <t>PC1: 6 Mathematical Induction
PC2: 1 Series and Induction</t>
  </si>
  <si>
    <t>AP: 2 Number Theory</t>
  </si>
  <si>
    <t>PC2: 10 Differential Equations
PC2: 11 Applications of differential Equations</t>
  </si>
  <si>
    <t>PC2: 6 Hyperbolic Functions
PC2: 9 Polar Coordinates
PC2: 7 Further Calculus Techniques</t>
  </si>
  <si>
    <t>Physics Paper: 2021 P1</t>
  </si>
  <si>
    <t>Review Physics Paper
+ Physics Notes</t>
  </si>
  <si>
    <t>Physics Paper: 2021 P2</t>
  </si>
  <si>
    <t>Physics Paper: 2021 P3</t>
  </si>
  <si>
    <t>AP: 5 Surfaces and Partial differentiation
AP: 6 Further Calculus</t>
  </si>
  <si>
    <t>M: 3 Momentum and Collisions 1
M: 8 Momentum and Collisions 2</t>
  </si>
  <si>
    <t>PC2: 11 Applications of differential Equations</t>
  </si>
  <si>
    <t>PC1: 5 Roots of Polynomials
AP: 4 Further Vectors
AP: 1 Sequences and series</t>
  </si>
  <si>
    <t>Mechanics Paper
Add Pure Practice Paper</t>
  </si>
  <si>
    <t>Finish Mechanics Paper</t>
  </si>
  <si>
    <t>Mechanics Paper</t>
  </si>
  <si>
    <t>Physics Paper: 2022 P1</t>
  </si>
  <si>
    <t>AM</t>
  </si>
  <si>
    <t>Physics of Sport Revision</t>
  </si>
  <si>
    <t>Physics of Sport Test</t>
  </si>
  <si>
    <t>Pure Core Test (Gabriel</t>
  </si>
  <si>
    <t>B-Fields and Induction Revision</t>
  </si>
  <si>
    <t>Imperial Offer Holder Day</t>
  </si>
  <si>
    <t>Physics P1 2020</t>
  </si>
  <si>
    <t>PM</t>
  </si>
  <si>
    <t>Pure Core Paper</t>
  </si>
  <si>
    <t>B-Fields Combined Test</t>
  </si>
  <si>
    <t>CS AS 2019 Paper 2</t>
  </si>
  <si>
    <t>Evening</t>
  </si>
  <si>
    <t>CS AS 2019 Paper 1</t>
  </si>
  <si>
    <t>Number Theory Revision</t>
  </si>
  <si>
    <t>Stats Revision and Past Paper</t>
  </si>
  <si>
    <t>Group Theory Notes</t>
  </si>
  <si>
    <t>Physics P1 2021</t>
  </si>
  <si>
    <t>Physics P2 2021</t>
  </si>
  <si>
    <t>CS AS 2020 Paper 1</t>
  </si>
  <si>
    <t>CS AS 2020 Paper 2</t>
  </si>
  <si>
    <t>CS AS 2022 Paper 1</t>
  </si>
  <si>
    <t>Physics P3 2020</t>
  </si>
  <si>
    <t>CS AS 2023 Paper 1</t>
  </si>
  <si>
    <t>PP2 Pure Core 2</t>
  </si>
  <si>
    <t>PP2 Mechanics</t>
  </si>
  <si>
    <t>PP1 Pure Core 1</t>
  </si>
  <si>
    <t>PP1 Mechanics</t>
  </si>
  <si>
    <t>PP1 Add Pure</t>
  </si>
  <si>
    <t>PP1 Pure Core 2</t>
  </si>
  <si>
    <t>PP2 Pure Core 1</t>
  </si>
  <si>
    <t>Physics P3 2021</t>
  </si>
  <si>
    <t>AS CS 2016 P1</t>
  </si>
  <si>
    <t>AS CS 2022 P1</t>
  </si>
  <si>
    <t>AS CS 2016 P2</t>
  </si>
  <si>
    <t>PP2 Add Pure</t>
  </si>
  <si>
    <t>PP3 Pure Core 1</t>
  </si>
  <si>
    <t>Physics Comprehension</t>
  </si>
  <si>
    <t>Physics P1 2023</t>
  </si>
  <si>
    <t>CS AS 2023 Paper 2</t>
  </si>
  <si>
    <t>PP3 Pure Core 2</t>
  </si>
  <si>
    <t>PP3 Mechanics</t>
  </si>
  <si>
    <t>Physics P1 2017</t>
  </si>
  <si>
    <t>FM Paper 2019 PC1</t>
  </si>
  <si>
    <t>Physics P1 2018</t>
  </si>
  <si>
    <t>Physics P1 2019</t>
  </si>
  <si>
    <t>PP3 Add Pure</t>
  </si>
  <si>
    <t>A Level Stats 2018</t>
  </si>
  <si>
    <t>A Level Mechanics 2018</t>
  </si>
  <si>
    <t>FM Paper Sample PC1</t>
  </si>
  <si>
    <t>FM Paper 2020 PC1</t>
  </si>
  <si>
    <t>FM Paper 2021 PC1</t>
  </si>
  <si>
    <t>Physics P1 2022</t>
  </si>
  <si>
    <t>Physics P1 2024</t>
  </si>
  <si>
    <t>Physics
Component 1 Paper</t>
  </si>
  <si>
    <t>Physics P2 2017</t>
  </si>
  <si>
    <t>Physics P3 2017</t>
  </si>
  <si>
    <t>FM Paper 2022 PC1</t>
  </si>
  <si>
    <t>FM Paper 2023 PC1</t>
  </si>
  <si>
    <t>FM Paper 2024 PC1 (Mock questions)</t>
  </si>
  <si>
    <t>Further Maths
Pure Core 1 Paper</t>
  </si>
  <si>
    <t>FM Paper 2019 Add</t>
  </si>
  <si>
    <t>FM Paper 2019 PC2</t>
  </si>
  <si>
    <t>Physics Harder Questions</t>
  </si>
  <si>
    <t>Physics P2 2018</t>
  </si>
  <si>
    <t>Physics P3 2018</t>
  </si>
  <si>
    <t>Physics P2 2019</t>
  </si>
  <si>
    <t>Physics P3 2019</t>
  </si>
  <si>
    <t>CS A Level 2021 Paper 2</t>
  </si>
  <si>
    <t>Physics P2 2020</t>
  </si>
  <si>
    <t>Single Maths 2022 Pure</t>
  </si>
  <si>
    <t>CS A Level 2021 Paper 1</t>
  </si>
  <si>
    <t>Single Maths 2021 Pure</t>
  </si>
  <si>
    <t>FM Paper 2020 PC2</t>
  </si>
  <si>
    <t>Single Maths 2022 Mech</t>
  </si>
  <si>
    <t>FM Paper 2021 PC2</t>
  </si>
  <si>
    <t>FM Paper 2019 Mech</t>
  </si>
  <si>
    <t>FM Paper 2022 PC2</t>
  </si>
  <si>
    <t>OTHER PRACTICE</t>
  </si>
  <si>
    <t>FM Paper Sample PC2</t>
  </si>
  <si>
    <t>FM Paper Sample Mech</t>
  </si>
  <si>
    <t>Single Maths 2021 Stats</t>
  </si>
  <si>
    <t>Physics P2 2022</t>
  </si>
  <si>
    <t>CS A Level 2019 Paper 1</t>
  </si>
  <si>
    <t>CS A Level 2019 Paper 2</t>
  </si>
  <si>
    <t>Single Maths 2019 Mech</t>
  </si>
  <si>
    <t>Single Maths 2023 Pure</t>
  </si>
  <si>
    <t>Physics P2 2023</t>
  </si>
  <si>
    <t>Physics P2 2024</t>
  </si>
  <si>
    <t>Physics P2 2022
Question Bank + Notes Revision</t>
  </si>
  <si>
    <t>Physics P3 2022</t>
  </si>
  <si>
    <t>FM Paper Sample Add</t>
  </si>
  <si>
    <t>CS A Level 2020 Paper 1</t>
  </si>
  <si>
    <t>CS A Level 2020 Paper 2</t>
  </si>
  <si>
    <t>FM Paper 2023 PC2</t>
  </si>
  <si>
    <t>Further Maths
Pure Core 2 Paper</t>
  </si>
  <si>
    <t>Mathematics
Pure Paper</t>
  </si>
  <si>
    <t>FM Paper 2020 Mech</t>
  </si>
  <si>
    <t>FM Paper 2020 Add</t>
  </si>
  <si>
    <t>FM Paper 2021 Mech</t>
  </si>
  <si>
    <t>CS A Level 2023 Paper 1</t>
  </si>
  <si>
    <t>CS A Level 2022 Paper 1</t>
  </si>
  <si>
    <t>Single Maths 2019 Stats</t>
  </si>
  <si>
    <t>Single Maths 2020 Stats</t>
  </si>
  <si>
    <t>Physics
Component 2 Paper</t>
  </si>
  <si>
    <t>CS A Level 2024 Paper 1</t>
  </si>
  <si>
    <t>Computer Science
Computer Systems P1</t>
  </si>
  <si>
    <t>Single Maths 2023 Stats</t>
  </si>
  <si>
    <t>Physics P3 2023</t>
  </si>
  <si>
    <t>FM Paper 2022 Mech</t>
  </si>
  <si>
    <t>CS Stuff</t>
  </si>
  <si>
    <t>Single Maths 2022 Stats</t>
  </si>
  <si>
    <t xml:space="preserve">Mathematics
Pure and Statistics </t>
  </si>
  <si>
    <t>Further Maths
Mechanics Paper</t>
  </si>
  <si>
    <t>FM Paper 2021 Add</t>
  </si>
  <si>
    <t>Single Maths 2021 Mech</t>
  </si>
  <si>
    <t>FM Paper 2023 Mech</t>
  </si>
  <si>
    <t>Physics P3 2024</t>
  </si>
  <si>
    <t>Physics
Component 3 Paper</t>
  </si>
  <si>
    <t>Computer Science
Algorithms and Programming P2</t>
  </si>
  <si>
    <t>Single Maths 2023 Mech</t>
  </si>
  <si>
    <t>CS A Level 2023 Paper 2</t>
  </si>
  <si>
    <t>CS A Level 2024 Paper 2</t>
  </si>
  <si>
    <t>FM Paper 2023 Add</t>
  </si>
  <si>
    <t xml:space="preserve">Mathematics
Pure and Mechanics </t>
  </si>
  <si>
    <t>Further Maths
Additional Pure Paper</t>
  </si>
  <si>
    <t>FM Paper 2022 Add</t>
  </si>
  <si>
    <t>FM Paper 2024 Add</t>
  </si>
  <si>
    <t>Pure Core 1 Book</t>
  </si>
  <si>
    <t>PC1: 1 Matrices</t>
  </si>
  <si>
    <t>PC1: 2 Further Vectors</t>
  </si>
  <si>
    <t>PC1: 3 Applications of Matrices</t>
  </si>
  <si>
    <t>PC1: 4 Complex Numbers</t>
  </si>
  <si>
    <t>PC1: 5 Roots of Polynomials</t>
  </si>
  <si>
    <t>PC1: 6 Mathematical Induction</t>
  </si>
  <si>
    <t>Pure Core 2 Book</t>
  </si>
  <si>
    <t>PC2: 1 Series and Induction</t>
  </si>
  <si>
    <t>PC2: 2 Powers and roots of complex numbers</t>
  </si>
  <si>
    <t>PC2: 3 Complex numbers and trigonometry</t>
  </si>
  <si>
    <t>PC2: 4 Lines and Planes</t>
  </si>
  <si>
    <t>PC2: 5 Simultaneous Equations and Planes</t>
  </si>
  <si>
    <t>PC2: 6 Hyperbolic Functions</t>
  </si>
  <si>
    <t>PC2: 7 Further Calculus Techniques</t>
  </si>
  <si>
    <t>PC2: 8 Applications of Calculus</t>
  </si>
  <si>
    <t>PC2: 9 Polar Coordinates</t>
  </si>
  <si>
    <t>PC2: 10 Differential Equations</t>
  </si>
  <si>
    <t>Mechanics Book</t>
  </si>
  <si>
    <t>M: 1 Work, energy and power 1</t>
  </si>
  <si>
    <t>M: 2 Dimensional Analysis</t>
  </si>
  <si>
    <t>M: 3 Momentum and Collisions 1</t>
  </si>
  <si>
    <t>M: 4 Circular motion 1</t>
  </si>
  <si>
    <t>M: 5 Centres of Mass 1</t>
  </si>
  <si>
    <t>M: 6 Work, energy and power 2</t>
  </si>
  <si>
    <t>M: 7 Linear motion under variable force</t>
  </si>
  <si>
    <t>M: 8 Momentum and Collisions 2</t>
  </si>
  <si>
    <t>M: 9 Circular Motion 2</t>
  </si>
  <si>
    <t>M: 10 Centres of mass 2</t>
  </si>
  <si>
    <t>Add. Pure</t>
  </si>
  <si>
    <t>AP: 1 Sequences and series</t>
  </si>
  <si>
    <t>AP: 4 Further Vectors</t>
  </si>
  <si>
    <t>AP: 5 Surfaces and Partial differentiation</t>
  </si>
  <si>
    <t>AP: 6 Further Calculus</t>
  </si>
  <si>
    <t>Further Revision Needed:</t>
  </si>
  <si>
    <t>Questions to do more of</t>
  </si>
  <si>
    <t>Number Theory Questions</t>
  </si>
  <si>
    <t>Roots of Unity Questions (URGENT!!!)</t>
  </si>
  <si>
    <t>Matrices - Invariant Lines + Points Questions</t>
  </si>
  <si>
    <t>Circular Motion 2 Ending Questions</t>
  </si>
  <si>
    <t>Converting Polar to Cartesian</t>
  </si>
  <si>
    <t>Induction with Inequalities Questions</t>
  </si>
  <si>
    <t>Multiplying Matrices</t>
  </si>
  <si>
    <t>SHM Graphs and types of damping</t>
  </si>
  <si>
    <t>AP6: Further Calculus Questions Reduction</t>
  </si>
  <si>
    <t>infinite sum of trigs (complex stuff)</t>
  </si>
  <si>
    <t>FM Papers</t>
  </si>
  <si>
    <t>#</t>
  </si>
  <si>
    <t>Topic</t>
  </si>
  <si>
    <t>Notes</t>
  </si>
  <si>
    <t>Practical Notes</t>
  </si>
  <si>
    <t>COMPONENT 1
NEWTONIAN PHYSICS</t>
  </si>
  <si>
    <t>Basic Physics</t>
  </si>
  <si>
    <t>Y</t>
  </si>
  <si>
    <t>Kinematics</t>
  </si>
  <si>
    <t>Dynamics</t>
  </si>
  <si>
    <t>Energy Concepts</t>
  </si>
  <si>
    <t>Circular Motion</t>
  </si>
  <si>
    <t>Vibrations</t>
  </si>
  <si>
    <t>N</t>
  </si>
  <si>
    <t>Kinetic Theory</t>
  </si>
  <si>
    <t>Thermal Physics</t>
  </si>
  <si>
    <t>COMPONENT 2
ELECTRICITY AND THE UNIVERSE</t>
  </si>
  <si>
    <t xml:space="preserve">Conduction of electricity </t>
  </si>
  <si>
    <t xml:space="preserve">Resistance </t>
  </si>
  <si>
    <t xml:space="preserve">D.C. circuits </t>
  </si>
  <si>
    <t xml:space="preserve">Capacitance </t>
  </si>
  <si>
    <t xml:space="preserve">Solids under stress </t>
  </si>
  <si>
    <t xml:space="preserve">Electrostatic and gravitational fields of force </t>
  </si>
  <si>
    <t xml:space="preserve">Using radiation to investigate stars </t>
  </si>
  <si>
    <t>Orbits and the wider universe</t>
  </si>
  <si>
    <t>COMPONENT 3
LIGHT, NUCLEI AND OPTIONS</t>
  </si>
  <si>
    <t xml:space="preserve">The nature of waves </t>
  </si>
  <si>
    <t xml:space="preserve">Wave properties </t>
  </si>
  <si>
    <t xml:space="preserve">Refraction of light </t>
  </si>
  <si>
    <t xml:space="preserve">Photons </t>
  </si>
  <si>
    <t xml:space="preserve">Lasers </t>
  </si>
  <si>
    <t xml:space="preserve">Nuclear decay </t>
  </si>
  <si>
    <t xml:space="preserve">Particles and nuclear structure </t>
  </si>
  <si>
    <t xml:space="preserve">Nuclear energy </t>
  </si>
  <si>
    <t xml:space="preserve">Magnetic fields </t>
  </si>
  <si>
    <t xml:space="preserve">Electromagnetic induction </t>
  </si>
  <si>
    <t>C</t>
  </si>
  <si>
    <t>Physics of Sports</t>
  </si>
  <si>
    <t>%</t>
  </si>
  <si>
    <t>Papers:</t>
  </si>
  <si>
    <t>Computer Science Papers</t>
  </si>
  <si>
    <t>CS AS 2016 Paper 1</t>
  </si>
  <si>
    <t>CS AS 2016 Paper 2</t>
  </si>
  <si>
    <t>CS AS 2017 Paper 1</t>
  </si>
  <si>
    <t>CS AS 2017 Paper 2</t>
  </si>
  <si>
    <t>CS AS 2018 Paper 1</t>
  </si>
  <si>
    <t>CS AS 2018 Paper 2</t>
  </si>
  <si>
    <t>CS AS 2021 Paper 1</t>
  </si>
  <si>
    <t>CS AS 2021 Paper 2</t>
  </si>
  <si>
    <t>CS AS 2022 Paper 2</t>
  </si>
  <si>
    <t>CS A Level 2017 Paper 1</t>
  </si>
  <si>
    <t>CS A Level 2017 Paper 2</t>
  </si>
  <si>
    <t>CS A Level 2018 Paper 1</t>
  </si>
  <si>
    <t>CS A Level 2018 Paper 2</t>
  </si>
  <si>
    <t>CS A Level 2022 Paper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</si>
</sst>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thin">
        <color indexed="64"/>
      </top>
      <bottom style="medium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505050"/>
      </left>
      <right style="medium">
        <color rgb="FF50505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0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3" xfId="0" applyBorder="1" applyAlignment="1">
      <alignment horizontal="right"/>
    </xf>
    <xf numFmtId="0" fontId="0" fillId="0" borderId="13" xfId="0" applyBorder="1"/>
    <xf numFmtId="9" fontId="0" fillId="0" borderId="13" xfId="1" applyFont="1" applyFill="1" applyBorder="1" applyAlignment="1">
      <alignment horizontal="center" vertical="center"/>
    </xf>
    <xf numFmtId="9" fontId="0" fillId="0" borderId="14" xfId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8" borderId="0" xfId="0" applyFill="1"/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9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2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5" fillId="0" borderId="8" xfId="0" applyFont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3" borderId="35" xfId="0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A5E4-DF9E-4F99-80DF-DE13DE57DE9B}">
  <dimension ref="A1:Y63"/>
  <sheetViews>
    <sheetView tabSelected="1" topLeftCell="A33" zoomScale="52" zoomScaleNormal="69" workbookViewId="0">
      <selection activeCell="N39" sqref="N39"/>
    </sheetView>
  </sheetViews>
  <sheetFormatPr defaultColWidth="8.7265625" defaultRowHeight="14.5" x14ac:dyDescent="0.35"/>
  <cols>
    <col min="1" max="1" width="12.26953125" style="5" bestFit="1" customWidth="1"/>
    <col min="2" max="2" width="9.81640625" style="36" customWidth="1"/>
    <col min="3" max="9" width="21.81640625" style="5" customWidth="1"/>
    <col min="10" max="10" width="8.7265625" style="32"/>
    <col min="11" max="11" width="12.81640625" style="32" customWidth="1"/>
    <col min="12" max="16384" width="8.7265625" style="32"/>
  </cols>
  <sheetData>
    <row r="1" spans="1:9" s="5" customFormat="1" ht="29.5" thickBot="1" x14ac:dyDescent="0.4">
      <c r="A1" s="6" t="s">
        <v>0</v>
      </c>
      <c r="B1" s="30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</row>
    <row r="2" spans="1:9" ht="33" customHeight="1" x14ac:dyDescent="0.35">
      <c r="A2" s="85">
        <v>45747</v>
      </c>
      <c r="B2" s="30" t="s">
        <v>9</v>
      </c>
      <c r="C2" s="30"/>
      <c r="D2" s="6"/>
      <c r="E2" s="31"/>
      <c r="F2" s="6"/>
      <c r="G2" s="31"/>
      <c r="H2" s="6"/>
      <c r="I2" s="82" t="s">
        <v>10</v>
      </c>
    </row>
    <row r="3" spans="1:9" ht="72.5" x14ac:dyDescent="0.35">
      <c r="A3" s="86"/>
      <c r="B3" s="35" t="s">
        <v>11</v>
      </c>
      <c r="C3" s="35" t="s">
        <v>12</v>
      </c>
      <c r="D3" s="9" t="s">
        <v>13</v>
      </c>
      <c r="E3" s="5" t="s">
        <v>14</v>
      </c>
      <c r="F3" s="9" t="s">
        <v>15</v>
      </c>
      <c r="G3" s="5" t="s">
        <v>16</v>
      </c>
      <c r="H3" s="9" t="s">
        <v>17</v>
      </c>
      <c r="I3" s="83"/>
    </row>
    <row r="4" spans="1:9" ht="33" customHeight="1" x14ac:dyDescent="0.35">
      <c r="A4" s="86"/>
      <c r="B4" s="35" t="s">
        <v>18</v>
      </c>
      <c r="C4" s="35" t="s">
        <v>19</v>
      </c>
      <c r="D4" s="9" t="s">
        <v>20</v>
      </c>
      <c r="E4" s="5" t="s">
        <v>21</v>
      </c>
      <c r="F4" s="9" t="s">
        <v>22</v>
      </c>
      <c r="G4" s="5" t="s">
        <v>23</v>
      </c>
      <c r="H4" s="9" t="s">
        <v>24</v>
      </c>
      <c r="I4" s="83"/>
    </row>
    <row r="5" spans="1:9" ht="33" customHeight="1" thickBot="1" x14ac:dyDescent="0.4">
      <c r="A5" s="87"/>
      <c r="B5" s="38" t="s">
        <v>25</v>
      </c>
      <c r="C5" s="38"/>
      <c r="D5" s="33"/>
      <c r="E5" s="34"/>
      <c r="F5" s="33"/>
      <c r="G5" s="34"/>
      <c r="H5" s="33"/>
      <c r="I5" s="84"/>
    </row>
    <row r="6" spans="1:9" ht="33" customHeight="1" x14ac:dyDescent="0.35">
      <c r="A6" s="85">
        <v>45754</v>
      </c>
      <c r="B6" s="30" t="s">
        <v>9</v>
      </c>
      <c r="C6" s="35"/>
      <c r="D6" s="6"/>
      <c r="E6" s="31"/>
      <c r="F6" s="6"/>
      <c r="G6" s="31"/>
      <c r="H6" s="6"/>
      <c r="I6" s="41"/>
    </row>
    <row r="7" spans="1:9" ht="72.5" x14ac:dyDescent="0.35">
      <c r="A7" s="86"/>
      <c r="B7" s="35" t="s">
        <v>11</v>
      </c>
      <c r="C7" s="35" t="s">
        <v>26</v>
      </c>
      <c r="D7" s="9" t="s">
        <v>27</v>
      </c>
      <c r="E7" s="5" t="s">
        <v>28</v>
      </c>
      <c r="F7" s="9" t="s">
        <v>29</v>
      </c>
      <c r="G7" s="5" t="s">
        <v>30</v>
      </c>
      <c r="H7" s="9" t="s">
        <v>31</v>
      </c>
      <c r="I7" s="37" t="s">
        <v>32</v>
      </c>
    </row>
    <row r="8" spans="1:9" ht="33" customHeight="1" x14ac:dyDescent="0.35">
      <c r="A8" s="86"/>
      <c r="B8" s="35" t="s">
        <v>18</v>
      </c>
      <c r="C8" s="35" t="s">
        <v>33</v>
      </c>
      <c r="D8" s="9" t="s">
        <v>34</v>
      </c>
      <c r="E8" s="5" t="s">
        <v>35</v>
      </c>
      <c r="F8" s="9" t="s">
        <v>34</v>
      </c>
      <c r="G8" s="5" t="s">
        <v>36</v>
      </c>
      <c r="H8" s="9" t="s">
        <v>34</v>
      </c>
      <c r="I8" s="37"/>
    </row>
    <row r="9" spans="1:9" ht="33" customHeight="1" thickBot="1" x14ac:dyDescent="0.4">
      <c r="A9" s="87"/>
      <c r="B9" s="35" t="s">
        <v>25</v>
      </c>
      <c r="C9" s="38"/>
      <c r="D9" s="33"/>
      <c r="E9" s="34"/>
      <c r="F9" s="33"/>
      <c r="G9" s="34"/>
      <c r="H9" s="33"/>
      <c r="I9" s="39"/>
    </row>
    <row r="10" spans="1:9" ht="33" customHeight="1" x14ac:dyDescent="0.35">
      <c r="A10" s="85">
        <v>45761</v>
      </c>
      <c r="B10" s="30" t="s">
        <v>9</v>
      </c>
      <c r="C10" s="30"/>
      <c r="D10" s="6"/>
      <c r="E10" s="31"/>
      <c r="F10" s="6"/>
      <c r="G10" s="31"/>
      <c r="H10" s="6"/>
      <c r="I10" s="41"/>
    </row>
    <row r="11" spans="1:9" ht="73" customHeight="1" x14ac:dyDescent="0.35">
      <c r="A11" s="86"/>
      <c r="B11" s="35" t="s">
        <v>11</v>
      </c>
      <c r="C11" s="35" t="s">
        <v>37</v>
      </c>
      <c r="D11" s="9" t="s">
        <v>38</v>
      </c>
      <c r="E11" s="5" t="s">
        <v>39</v>
      </c>
      <c r="F11" s="9" t="s">
        <v>40</v>
      </c>
      <c r="G11" s="5" t="s">
        <v>41</v>
      </c>
      <c r="H11" s="9" t="s">
        <v>42</v>
      </c>
      <c r="I11" s="37" t="s">
        <v>43</v>
      </c>
    </row>
    <row r="12" spans="1:9" ht="33" customHeight="1" x14ac:dyDescent="0.35">
      <c r="A12" s="86"/>
      <c r="B12" s="35" t="s">
        <v>18</v>
      </c>
      <c r="C12" s="35"/>
      <c r="D12" s="9" t="s">
        <v>44</v>
      </c>
      <c r="E12" s="5" t="s">
        <v>24</v>
      </c>
      <c r="F12" s="9"/>
      <c r="H12" s="9"/>
      <c r="I12" s="37"/>
    </row>
    <row r="13" spans="1:9" ht="33" customHeight="1" thickBot="1" x14ac:dyDescent="0.4">
      <c r="A13" s="86"/>
      <c r="B13" s="35" t="s">
        <v>25</v>
      </c>
      <c r="C13" s="35"/>
      <c r="D13" s="9"/>
      <c r="F13" s="9"/>
      <c r="H13" s="9"/>
      <c r="I13" s="37"/>
    </row>
    <row r="14" spans="1:9" ht="68.5" customHeight="1" x14ac:dyDescent="0.35">
      <c r="A14" s="85">
        <v>45768</v>
      </c>
      <c r="B14" s="6" t="s">
        <v>45</v>
      </c>
      <c r="C14" s="30" t="s">
        <v>46</v>
      </c>
      <c r="D14" s="43" t="s">
        <v>47</v>
      </c>
      <c r="E14" s="44" t="s">
        <v>48</v>
      </c>
      <c r="F14" s="44"/>
      <c r="G14" s="44" t="s">
        <v>49</v>
      </c>
      <c r="H14" s="88" t="s">
        <v>50</v>
      </c>
      <c r="I14" s="6" t="s">
        <v>51</v>
      </c>
    </row>
    <row r="15" spans="1:9" ht="68.5" customHeight="1" x14ac:dyDescent="0.35">
      <c r="A15" s="86"/>
      <c r="B15" s="9" t="s">
        <v>52</v>
      </c>
      <c r="C15" s="35" t="s">
        <v>53</v>
      </c>
      <c r="D15" s="45" t="s">
        <v>53</v>
      </c>
      <c r="E15" s="46"/>
      <c r="F15" s="46" t="s">
        <v>49</v>
      </c>
      <c r="G15" s="46" t="s">
        <v>54</v>
      </c>
      <c r="H15" s="89"/>
      <c r="I15" s="37" t="s">
        <v>55</v>
      </c>
    </row>
    <row r="16" spans="1:9" ht="68.5" customHeight="1" thickBot="1" x14ac:dyDescent="0.4">
      <c r="A16" s="87"/>
      <c r="B16" s="33" t="s">
        <v>56</v>
      </c>
      <c r="C16" s="38"/>
      <c r="D16" s="48"/>
      <c r="E16" s="49"/>
      <c r="F16" s="49"/>
      <c r="G16" s="47" t="s">
        <v>57</v>
      </c>
      <c r="H16" s="90"/>
      <c r="I16" s="33"/>
    </row>
    <row r="17" spans="1:25" ht="68.5" customHeight="1" x14ac:dyDescent="0.35">
      <c r="A17" s="85">
        <v>45775</v>
      </c>
      <c r="B17" s="6" t="s">
        <v>45</v>
      </c>
      <c r="C17" s="43" t="s">
        <v>58</v>
      </c>
      <c r="D17" s="43" t="s">
        <v>59</v>
      </c>
      <c r="E17" s="43" t="s">
        <v>59</v>
      </c>
      <c r="F17" s="43" t="s">
        <v>60</v>
      </c>
      <c r="G17" s="43" t="s">
        <v>59</v>
      </c>
      <c r="H17" s="6" t="s">
        <v>61</v>
      </c>
      <c r="I17" s="6" t="s">
        <v>62</v>
      </c>
    </row>
    <row r="18" spans="1:25" ht="68.5" customHeight="1" x14ac:dyDescent="0.35">
      <c r="A18" s="86"/>
      <c r="B18" s="9" t="s">
        <v>52</v>
      </c>
      <c r="C18" s="46" t="s">
        <v>63</v>
      </c>
      <c r="D18" s="46" t="s">
        <v>64</v>
      </c>
      <c r="E18" s="46" t="s">
        <v>65</v>
      </c>
      <c r="F18" s="46" t="s">
        <v>66</v>
      </c>
      <c r="G18" s="45" t="s">
        <v>67</v>
      </c>
      <c r="H18" s="9" t="s">
        <v>68</v>
      </c>
      <c r="I18" s="9" t="s">
        <v>69</v>
      </c>
    </row>
    <row r="19" spans="1:25" ht="68.5" customHeight="1" thickBot="1" x14ac:dyDescent="0.4">
      <c r="A19" s="87"/>
      <c r="B19" s="33" t="s">
        <v>56</v>
      </c>
      <c r="C19" s="47" t="s">
        <v>70</v>
      </c>
      <c r="D19" s="47" t="s">
        <v>71</v>
      </c>
      <c r="E19" s="47" t="s">
        <v>72</v>
      </c>
      <c r="F19" s="47" t="s">
        <v>73</v>
      </c>
      <c r="G19" s="48" t="s">
        <v>74</v>
      </c>
      <c r="H19" s="33"/>
      <c r="I19" s="9"/>
    </row>
    <row r="20" spans="1:25" ht="68.5" customHeight="1" x14ac:dyDescent="0.35">
      <c r="A20" s="85">
        <v>45782</v>
      </c>
      <c r="B20" s="6" t="s">
        <v>45</v>
      </c>
      <c r="C20" s="6" t="s">
        <v>75</v>
      </c>
      <c r="D20" s="50" t="s">
        <v>76</v>
      </c>
      <c r="E20" s="50" t="s">
        <v>77</v>
      </c>
      <c r="F20" s="50" t="s">
        <v>78</v>
      </c>
      <c r="G20" s="50"/>
      <c r="H20" s="35" t="s">
        <v>79</v>
      </c>
      <c r="I20" s="54" t="s">
        <v>80</v>
      </c>
    </row>
    <row r="21" spans="1:25" ht="68.5" customHeight="1" x14ac:dyDescent="0.35">
      <c r="A21" s="86"/>
      <c r="B21" s="9" t="s">
        <v>52</v>
      </c>
      <c r="D21" s="51"/>
      <c r="E21" s="51" t="s">
        <v>81</v>
      </c>
      <c r="F21" s="51"/>
      <c r="G21" s="51"/>
      <c r="I21" s="55" t="s">
        <v>82</v>
      </c>
    </row>
    <row r="22" spans="1:25" ht="68.5" customHeight="1" thickBot="1" x14ac:dyDescent="0.4">
      <c r="A22" s="87"/>
      <c r="B22" s="33" t="s">
        <v>56</v>
      </c>
      <c r="C22" s="33" t="s">
        <v>83</v>
      </c>
      <c r="D22" s="52"/>
      <c r="E22" s="57"/>
      <c r="F22" s="52"/>
      <c r="G22" s="52"/>
      <c r="H22" s="34"/>
      <c r="I22" s="56"/>
    </row>
    <row r="23" spans="1:25" ht="68.5" customHeight="1" x14ac:dyDescent="0.35">
      <c r="A23" s="85">
        <v>45789</v>
      </c>
      <c r="B23" s="6" t="s">
        <v>45</v>
      </c>
      <c r="C23" s="6" t="s">
        <v>84</v>
      </c>
      <c r="D23" s="30" t="s">
        <v>85</v>
      </c>
      <c r="E23" s="54" t="s">
        <v>86</v>
      </c>
      <c r="F23" s="9" t="s">
        <v>87</v>
      </c>
      <c r="G23" s="9" t="s">
        <v>88</v>
      </c>
      <c r="H23" s="9" t="s">
        <v>89</v>
      </c>
      <c r="I23" s="9" t="s">
        <v>51</v>
      </c>
    </row>
    <row r="24" spans="1:25" ht="68.5" customHeight="1" x14ac:dyDescent="0.35">
      <c r="A24" s="86"/>
      <c r="B24" s="9" t="s">
        <v>52</v>
      </c>
      <c r="C24" s="9" t="s">
        <v>81</v>
      </c>
      <c r="D24" s="35" t="s">
        <v>90</v>
      </c>
      <c r="E24" s="55" t="s">
        <v>91</v>
      </c>
      <c r="F24" s="37" t="s">
        <v>92</v>
      </c>
      <c r="G24" s="9" t="s">
        <v>93</v>
      </c>
      <c r="H24" s="9" t="s">
        <v>94</v>
      </c>
      <c r="I24" s="9" t="s">
        <v>95</v>
      </c>
    </row>
    <row r="25" spans="1:25" ht="68.5" customHeight="1" thickBot="1" x14ac:dyDescent="0.4">
      <c r="A25" s="87"/>
      <c r="B25" s="33" t="s">
        <v>56</v>
      </c>
      <c r="C25" s="33"/>
      <c r="E25" s="56"/>
      <c r="F25" s="37"/>
      <c r="G25" s="33"/>
      <c r="H25" s="33"/>
      <c r="I25" s="33"/>
    </row>
    <row r="26" spans="1:25" ht="68.5" customHeight="1" x14ac:dyDescent="0.35">
      <c r="A26" s="85">
        <v>45796</v>
      </c>
      <c r="B26" s="6" t="s">
        <v>45</v>
      </c>
      <c r="C26" s="6" t="s">
        <v>61</v>
      </c>
      <c r="D26" s="6" t="s">
        <v>96</v>
      </c>
      <c r="E26" s="35" t="s">
        <v>97</v>
      </c>
      <c r="F26" s="6"/>
      <c r="G26" s="53" t="s">
        <v>98</v>
      </c>
      <c r="H26" s="30" t="s">
        <v>99</v>
      </c>
      <c r="I26" s="6" t="s">
        <v>100</v>
      </c>
    </row>
    <row r="27" spans="1:25" ht="68.5" customHeight="1" x14ac:dyDescent="0.35">
      <c r="A27" s="86"/>
      <c r="B27" s="9" t="s">
        <v>52</v>
      </c>
      <c r="C27" s="9" t="s">
        <v>101</v>
      </c>
      <c r="D27" s="9" t="s">
        <v>102</v>
      </c>
      <c r="E27" s="35" t="s">
        <v>103</v>
      </c>
      <c r="F27" s="27" t="s">
        <v>104</v>
      </c>
      <c r="G27" s="37"/>
      <c r="H27" s="35" t="s">
        <v>105</v>
      </c>
      <c r="I27" s="9" t="s">
        <v>106</v>
      </c>
    </row>
    <row r="28" spans="1:25" ht="68.5" customHeight="1" thickBot="1" x14ac:dyDescent="0.4">
      <c r="A28" s="87"/>
      <c r="B28" s="33" t="s">
        <v>56</v>
      </c>
      <c r="C28" s="33"/>
      <c r="D28" s="9"/>
      <c r="E28" s="38"/>
      <c r="F28" s="33" t="s">
        <v>107</v>
      </c>
      <c r="G28" s="39"/>
      <c r="H28" s="38"/>
      <c r="I28" s="9"/>
    </row>
    <row r="29" spans="1:25" ht="68.5" customHeight="1" thickBot="1" x14ac:dyDescent="0.4">
      <c r="A29" s="85">
        <v>45803</v>
      </c>
      <c r="B29" s="6" t="s">
        <v>45</v>
      </c>
      <c r="C29" s="35" t="s">
        <v>108</v>
      </c>
      <c r="D29" s="65" t="s">
        <v>109</v>
      </c>
      <c r="E29" s="6" t="s">
        <v>110</v>
      </c>
      <c r="F29" s="6" t="s">
        <v>111</v>
      </c>
      <c r="G29" s="9" t="s">
        <v>112</v>
      </c>
      <c r="H29" s="35" t="s">
        <v>113</v>
      </c>
      <c r="I29" s="72" t="s">
        <v>114</v>
      </c>
    </row>
    <row r="30" spans="1:25" ht="68.5" customHeight="1" thickBot="1" x14ac:dyDescent="0.4">
      <c r="A30" s="86"/>
      <c r="B30" s="9" t="s">
        <v>52</v>
      </c>
      <c r="C30" s="35" t="s">
        <v>115</v>
      </c>
      <c r="D30" s="66" t="s">
        <v>116</v>
      </c>
      <c r="E30" s="9" t="s">
        <v>117</v>
      </c>
      <c r="F30" s="9" t="s">
        <v>118</v>
      </c>
      <c r="G30" s="9" t="s">
        <v>119</v>
      </c>
      <c r="H30" s="35" t="s">
        <v>120</v>
      </c>
      <c r="I30" s="73" t="s">
        <v>121</v>
      </c>
      <c r="Q30" s="79" t="s">
        <v>122</v>
      </c>
      <c r="R30" s="80"/>
      <c r="S30" s="80"/>
      <c r="T30" s="80"/>
      <c r="U30" s="80"/>
      <c r="V30" s="80"/>
      <c r="W30" s="80"/>
      <c r="X30" s="80"/>
      <c r="Y30" s="81"/>
    </row>
    <row r="31" spans="1:25" ht="68.5" customHeight="1" thickBot="1" x14ac:dyDescent="0.4">
      <c r="A31" s="87"/>
      <c r="B31" s="33" t="s">
        <v>56</v>
      </c>
      <c r="C31" s="60" t="s">
        <v>123</v>
      </c>
      <c r="D31" s="67"/>
      <c r="E31" s="33"/>
      <c r="F31" s="9"/>
      <c r="G31" s="71" t="s">
        <v>124</v>
      </c>
      <c r="H31" s="59" t="s">
        <v>125</v>
      </c>
      <c r="I31" s="74"/>
      <c r="Q31" s="69" t="s">
        <v>126</v>
      </c>
      <c r="R31" s="62"/>
      <c r="S31" s="63"/>
      <c r="T31" s="63"/>
      <c r="U31" s="64" t="s">
        <v>127</v>
      </c>
      <c r="V31" s="64" t="s">
        <v>128</v>
      </c>
      <c r="W31" s="64"/>
      <c r="Y31" s="61" t="s">
        <v>129</v>
      </c>
    </row>
    <row r="32" spans="1:25" ht="68.5" customHeight="1" thickBot="1" x14ac:dyDescent="0.4">
      <c r="A32" s="85">
        <v>45810</v>
      </c>
      <c r="B32" s="6" t="s">
        <v>45</v>
      </c>
      <c r="C32" s="35" t="s">
        <v>66</v>
      </c>
      <c r="D32" s="9"/>
      <c r="E32" s="35" t="s">
        <v>130</v>
      </c>
      <c r="F32" s="30" t="s">
        <v>62</v>
      </c>
      <c r="G32" s="6" t="s">
        <v>131</v>
      </c>
      <c r="H32" s="6" t="s">
        <v>132</v>
      </c>
      <c r="I32" s="75" t="s">
        <v>133</v>
      </c>
      <c r="Q32" s="59" t="s">
        <v>134</v>
      </c>
      <c r="R32" s="68"/>
      <c r="T32" s="60" t="s">
        <v>135</v>
      </c>
      <c r="U32" s="60" t="s">
        <v>136</v>
      </c>
      <c r="V32" s="60" t="s">
        <v>137</v>
      </c>
      <c r="X32" s="68"/>
    </row>
    <row r="33" spans="1:9" ht="68.5" customHeight="1" x14ac:dyDescent="0.35">
      <c r="A33" s="86"/>
      <c r="B33" s="9" t="s">
        <v>52</v>
      </c>
      <c r="C33" s="9" t="s">
        <v>138</v>
      </c>
      <c r="D33" s="27" t="s">
        <v>139</v>
      </c>
      <c r="E33" s="70" t="s">
        <v>140</v>
      </c>
      <c r="F33" s="35" t="s">
        <v>141</v>
      </c>
      <c r="G33" s="9" t="s">
        <v>142</v>
      </c>
      <c r="H33" s="9" t="s">
        <v>143</v>
      </c>
      <c r="I33" s="75" t="s">
        <v>144</v>
      </c>
    </row>
    <row r="34" spans="1:9" ht="68.5" customHeight="1" thickBot="1" x14ac:dyDescent="0.4">
      <c r="A34" s="87"/>
      <c r="B34" s="33" t="s">
        <v>56</v>
      </c>
      <c r="C34" s="33"/>
      <c r="D34" s="9"/>
      <c r="E34" s="38"/>
      <c r="F34" s="38" t="s">
        <v>145</v>
      </c>
      <c r="G34" s="33" t="s">
        <v>146</v>
      </c>
      <c r="H34" s="33"/>
      <c r="I34" s="33" t="s">
        <v>147</v>
      </c>
    </row>
    <row r="35" spans="1:9" ht="68.5" customHeight="1" x14ac:dyDescent="0.35">
      <c r="A35" s="85">
        <v>45817</v>
      </c>
      <c r="B35" s="6" t="s">
        <v>45</v>
      </c>
      <c r="C35" s="76" t="s">
        <v>148</v>
      </c>
      <c r="D35" s="72" t="s">
        <v>149</v>
      </c>
      <c r="E35" s="42" t="s">
        <v>150</v>
      </c>
      <c r="F35" s="41" t="s">
        <v>151</v>
      </c>
      <c r="G35" s="6"/>
      <c r="H35" s="35" t="s">
        <v>75</v>
      </c>
      <c r="I35" s="6" t="s">
        <v>152</v>
      </c>
    </row>
    <row r="36" spans="1:9" ht="68.5" customHeight="1" x14ac:dyDescent="0.35">
      <c r="A36" s="86"/>
      <c r="B36" s="9" t="s">
        <v>52</v>
      </c>
      <c r="C36" s="35" t="s">
        <v>153</v>
      </c>
      <c r="D36" s="77" t="s">
        <v>154</v>
      </c>
      <c r="E36" s="9" t="s">
        <v>155</v>
      </c>
      <c r="F36" s="78" t="s">
        <v>156</v>
      </c>
      <c r="G36" s="27" t="s">
        <v>157</v>
      </c>
      <c r="H36" s="35" t="s">
        <v>158</v>
      </c>
      <c r="I36" s="9" t="s">
        <v>159</v>
      </c>
    </row>
    <row r="37" spans="1:9" ht="68.5" customHeight="1" thickBot="1" x14ac:dyDescent="0.4">
      <c r="A37" s="87"/>
      <c r="B37" s="33" t="s">
        <v>56</v>
      </c>
      <c r="C37" s="35"/>
      <c r="D37" s="73"/>
      <c r="E37" s="33"/>
      <c r="F37" s="39" t="s">
        <v>160</v>
      </c>
      <c r="G37" s="33"/>
      <c r="H37" s="35" t="s">
        <v>134</v>
      </c>
      <c r="I37" s="33"/>
    </row>
    <row r="38" spans="1:9" ht="69" customHeight="1" x14ac:dyDescent="0.35">
      <c r="A38" s="85">
        <v>45824</v>
      </c>
      <c r="B38" s="30" t="s">
        <v>45</v>
      </c>
      <c r="C38" s="6" t="s">
        <v>161</v>
      </c>
      <c r="D38" s="97" t="s">
        <v>162</v>
      </c>
      <c r="E38" s="42" t="s">
        <v>163</v>
      </c>
      <c r="F38" s="6" t="s">
        <v>164</v>
      </c>
      <c r="G38" s="6" t="s">
        <v>171</v>
      </c>
      <c r="H38" s="6"/>
      <c r="I38" s="6"/>
    </row>
    <row r="39" spans="1:9" ht="69" customHeight="1" x14ac:dyDescent="0.35">
      <c r="A39" s="86"/>
      <c r="B39" s="35" t="s">
        <v>52</v>
      </c>
      <c r="C39" s="9" t="s">
        <v>165</v>
      </c>
      <c r="D39" s="98" t="s">
        <v>166</v>
      </c>
      <c r="E39" s="9" t="s">
        <v>170</v>
      </c>
      <c r="F39" s="40" t="s">
        <v>168</v>
      </c>
      <c r="G39" s="27" t="s">
        <v>169</v>
      </c>
      <c r="H39" s="9"/>
      <c r="I39" s="9"/>
    </row>
    <row r="40" spans="1:9" ht="69" customHeight="1" thickBot="1" x14ac:dyDescent="0.4">
      <c r="A40" s="87"/>
      <c r="B40" s="38" t="s">
        <v>56</v>
      </c>
      <c r="C40" s="33"/>
      <c r="D40" s="99"/>
      <c r="E40" s="33"/>
      <c r="F40" s="33" t="s">
        <v>167</v>
      </c>
      <c r="G40" s="33"/>
      <c r="H40" s="33"/>
      <c r="I40" s="33"/>
    </row>
    <row r="49" spans="4:9" x14ac:dyDescent="0.35">
      <c r="D49" s="32"/>
      <c r="E49" s="32"/>
    </row>
    <row r="50" spans="4:9" x14ac:dyDescent="0.35">
      <c r="D50" s="32"/>
      <c r="E50" s="32"/>
      <c r="F50" s="32"/>
      <c r="G50" s="32"/>
      <c r="H50" s="32"/>
      <c r="I50" s="32"/>
    </row>
    <row r="51" spans="4:9" x14ac:dyDescent="0.35">
      <c r="D51" s="32"/>
      <c r="E51" s="32"/>
      <c r="F51" s="32"/>
      <c r="G51" s="32"/>
      <c r="H51" s="32"/>
      <c r="I51" s="4"/>
    </row>
    <row r="52" spans="4:9" x14ac:dyDescent="0.35">
      <c r="D52" s="32"/>
      <c r="E52" s="32"/>
      <c r="F52" s="32"/>
      <c r="G52" s="32"/>
      <c r="H52" s="32"/>
      <c r="I52" s="4"/>
    </row>
    <row r="53" spans="4:9" x14ac:dyDescent="0.35">
      <c r="D53" s="32"/>
      <c r="E53" s="32"/>
      <c r="F53" s="32"/>
      <c r="G53" s="32"/>
      <c r="H53" s="32"/>
      <c r="I53" s="4"/>
    </row>
    <row r="54" spans="4:9" x14ac:dyDescent="0.35">
      <c r="D54" s="32"/>
      <c r="E54" s="32"/>
      <c r="F54" s="32"/>
      <c r="G54" s="32"/>
      <c r="H54" s="32"/>
      <c r="I54" s="4"/>
    </row>
    <row r="55" spans="4:9" x14ac:dyDescent="0.35">
      <c r="D55" s="32"/>
      <c r="F55" s="32"/>
      <c r="G55" s="32"/>
      <c r="H55" s="32"/>
      <c r="I55" s="4"/>
    </row>
    <row r="56" spans="4:9" x14ac:dyDescent="0.35">
      <c r="D56" s="32"/>
      <c r="F56" s="32"/>
      <c r="G56" s="32"/>
      <c r="H56" s="32"/>
      <c r="I56" s="4"/>
    </row>
    <row r="57" spans="4:9" x14ac:dyDescent="0.35">
      <c r="D57" s="32"/>
      <c r="F57" s="32"/>
      <c r="G57" s="32"/>
      <c r="H57" s="32"/>
      <c r="I57" s="4"/>
    </row>
    <row r="58" spans="4:9" x14ac:dyDescent="0.35">
      <c r="D58" s="32"/>
      <c r="F58" s="32"/>
      <c r="G58" s="32"/>
      <c r="H58" s="32"/>
      <c r="I58" s="4"/>
    </row>
    <row r="59" spans="4:9" x14ac:dyDescent="0.35">
      <c r="D59" s="32"/>
      <c r="E59" s="32"/>
      <c r="F59" s="32"/>
      <c r="G59" s="32"/>
      <c r="H59" s="32"/>
      <c r="I59" s="4"/>
    </row>
    <row r="60" spans="4:9" x14ac:dyDescent="0.35">
      <c r="D60" s="32"/>
      <c r="E60" s="32"/>
      <c r="F60" s="32"/>
      <c r="G60" s="32"/>
      <c r="H60" s="32"/>
      <c r="I60" s="32"/>
    </row>
    <row r="61" spans="4:9" x14ac:dyDescent="0.35">
      <c r="D61" s="32"/>
      <c r="E61" s="32"/>
      <c r="F61" s="32"/>
      <c r="G61" s="32"/>
      <c r="H61" s="32"/>
      <c r="I61" s="32"/>
    </row>
    <row r="62" spans="4:9" x14ac:dyDescent="0.35">
      <c r="D62" s="32"/>
      <c r="E62" s="32"/>
      <c r="F62" s="32"/>
      <c r="G62" s="32"/>
      <c r="H62" s="32"/>
      <c r="I62" s="32"/>
    </row>
    <row r="63" spans="4:9" x14ac:dyDescent="0.35">
      <c r="F63" s="32"/>
      <c r="G63" s="32"/>
      <c r="H63" s="32"/>
      <c r="I63" s="32"/>
    </row>
  </sheetData>
  <mergeCells count="15">
    <mergeCell ref="A38:A40"/>
    <mergeCell ref="A2:A5"/>
    <mergeCell ref="A6:A9"/>
    <mergeCell ref="A10:A13"/>
    <mergeCell ref="A14:A16"/>
    <mergeCell ref="A17:A19"/>
    <mergeCell ref="A20:A22"/>
    <mergeCell ref="A23:A25"/>
    <mergeCell ref="A26:A28"/>
    <mergeCell ref="Q30:Y30"/>
    <mergeCell ref="I2:I5"/>
    <mergeCell ref="A29:A31"/>
    <mergeCell ref="A32:A34"/>
    <mergeCell ref="A35:A37"/>
    <mergeCell ref="H14:H1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1CAF-91B5-4E6F-A782-6FF7983F8A65}">
  <dimension ref="B1:E77"/>
  <sheetViews>
    <sheetView topLeftCell="A31" zoomScale="122" zoomScaleNormal="110" workbookViewId="0">
      <selection activeCell="C45" sqref="C45"/>
    </sheetView>
  </sheetViews>
  <sheetFormatPr defaultRowHeight="14.5" x14ac:dyDescent="0.35"/>
  <cols>
    <col min="2" max="2" width="15.453125" customWidth="1"/>
    <col min="3" max="3" width="39.453125" bestFit="1" customWidth="1"/>
  </cols>
  <sheetData>
    <row r="1" spans="2:3" ht="15" thickBot="1" x14ac:dyDescent="0.4"/>
    <row r="2" spans="2:3" x14ac:dyDescent="0.35">
      <c r="B2" s="91" t="s">
        <v>172</v>
      </c>
      <c r="C2" s="1" t="s">
        <v>173</v>
      </c>
    </row>
    <row r="3" spans="2:3" x14ac:dyDescent="0.35">
      <c r="B3" s="92"/>
      <c r="C3" s="2" t="s">
        <v>174</v>
      </c>
    </row>
    <row r="4" spans="2:3" x14ac:dyDescent="0.35">
      <c r="B4" s="92"/>
      <c r="C4" s="2" t="s">
        <v>175</v>
      </c>
    </row>
    <row r="5" spans="2:3" x14ac:dyDescent="0.35">
      <c r="B5" s="92"/>
      <c r="C5" s="2" t="s">
        <v>176</v>
      </c>
    </row>
    <row r="6" spans="2:3" x14ac:dyDescent="0.35">
      <c r="B6" s="92"/>
      <c r="C6" s="2" t="s">
        <v>177</v>
      </c>
    </row>
    <row r="7" spans="2:3" ht="15" thickBot="1" x14ac:dyDescent="0.4">
      <c r="B7" s="92"/>
      <c r="C7" s="2" t="s">
        <v>178</v>
      </c>
    </row>
    <row r="8" spans="2:3" x14ac:dyDescent="0.35">
      <c r="B8" s="91" t="s">
        <v>179</v>
      </c>
      <c r="C8" s="1" t="s">
        <v>180</v>
      </c>
    </row>
    <row r="9" spans="2:3" x14ac:dyDescent="0.35">
      <c r="B9" s="92"/>
      <c r="C9" s="2" t="s">
        <v>181</v>
      </c>
    </row>
    <row r="10" spans="2:3" x14ac:dyDescent="0.35">
      <c r="B10" s="92"/>
      <c r="C10" s="2" t="s">
        <v>182</v>
      </c>
    </row>
    <row r="11" spans="2:3" x14ac:dyDescent="0.35">
      <c r="B11" s="92"/>
      <c r="C11" s="2" t="s">
        <v>183</v>
      </c>
    </row>
    <row r="12" spans="2:3" x14ac:dyDescent="0.35">
      <c r="B12" s="92"/>
      <c r="C12" s="2" t="s">
        <v>184</v>
      </c>
    </row>
    <row r="13" spans="2:3" x14ac:dyDescent="0.35">
      <c r="B13" s="92"/>
      <c r="C13" s="2" t="s">
        <v>185</v>
      </c>
    </row>
    <row r="14" spans="2:3" x14ac:dyDescent="0.35">
      <c r="B14" s="92"/>
      <c r="C14" s="2" t="s">
        <v>186</v>
      </c>
    </row>
    <row r="15" spans="2:3" x14ac:dyDescent="0.35">
      <c r="B15" s="92"/>
      <c r="C15" s="2" t="s">
        <v>187</v>
      </c>
    </row>
    <row r="16" spans="2:3" x14ac:dyDescent="0.35">
      <c r="B16" s="92"/>
      <c r="C16" s="2" t="s">
        <v>188</v>
      </c>
    </row>
    <row r="17" spans="2:3" x14ac:dyDescent="0.35">
      <c r="B17" s="92"/>
      <c r="C17" s="2" t="s">
        <v>189</v>
      </c>
    </row>
    <row r="18" spans="2:3" ht="15" thickBot="1" x14ac:dyDescent="0.4">
      <c r="B18" s="93"/>
      <c r="C18" s="3" t="s">
        <v>39</v>
      </c>
    </row>
    <row r="19" spans="2:3" x14ac:dyDescent="0.35">
      <c r="B19" s="92" t="s">
        <v>190</v>
      </c>
      <c r="C19" s="2" t="s">
        <v>191</v>
      </c>
    </row>
    <row r="20" spans="2:3" x14ac:dyDescent="0.35">
      <c r="B20" s="92"/>
      <c r="C20" s="2" t="s">
        <v>192</v>
      </c>
    </row>
    <row r="21" spans="2:3" x14ac:dyDescent="0.35">
      <c r="B21" s="92"/>
      <c r="C21" s="2" t="s">
        <v>193</v>
      </c>
    </row>
    <row r="22" spans="2:3" x14ac:dyDescent="0.35">
      <c r="B22" s="92"/>
      <c r="C22" s="2" t="s">
        <v>194</v>
      </c>
    </row>
    <row r="23" spans="2:3" x14ac:dyDescent="0.35">
      <c r="B23" s="92"/>
      <c r="C23" s="2" t="s">
        <v>195</v>
      </c>
    </row>
    <row r="24" spans="2:3" x14ac:dyDescent="0.35">
      <c r="B24" s="92"/>
      <c r="C24" s="2" t="s">
        <v>196</v>
      </c>
    </row>
    <row r="25" spans="2:3" x14ac:dyDescent="0.35">
      <c r="B25" s="92"/>
      <c r="C25" s="2" t="s">
        <v>197</v>
      </c>
    </row>
    <row r="26" spans="2:3" x14ac:dyDescent="0.35">
      <c r="B26" s="92"/>
      <c r="C26" s="2" t="s">
        <v>198</v>
      </c>
    </row>
    <row r="27" spans="2:3" x14ac:dyDescent="0.35">
      <c r="B27" s="92"/>
      <c r="C27" s="2" t="s">
        <v>199</v>
      </c>
    </row>
    <row r="28" spans="2:3" ht="15" thickBot="1" x14ac:dyDescent="0.4">
      <c r="B28" s="92"/>
      <c r="C28" s="2" t="s">
        <v>200</v>
      </c>
    </row>
    <row r="29" spans="2:3" x14ac:dyDescent="0.35">
      <c r="B29" s="91" t="s">
        <v>201</v>
      </c>
      <c r="C29" s="1" t="s">
        <v>202</v>
      </c>
    </row>
    <row r="30" spans="2:3" x14ac:dyDescent="0.35">
      <c r="B30" s="92"/>
      <c r="C30" s="2" t="s">
        <v>30</v>
      </c>
    </row>
    <row r="31" spans="2:3" x14ac:dyDescent="0.35">
      <c r="B31" s="92"/>
      <c r="C31" s="2" t="s">
        <v>16</v>
      </c>
    </row>
    <row r="32" spans="2:3" x14ac:dyDescent="0.35">
      <c r="B32" s="92"/>
      <c r="C32" s="2" t="s">
        <v>203</v>
      </c>
    </row>
    <row r="33" spans="2:5" x14ac:dyDescent="0.35">
      <c r="B33" s="92"/>
      <c r="C33" s="2" t="s">
        <v>204</v>
      </c>
    </row>
    <row r="34" spans="2:5" ht="15" thickBot="1" x14ac:dyDescent="0.4">
      <c r="B34" s="93"/>
      <c r="C34" s="3" t="s">
        <v>205</v>
      </c>
    </row>
    <row r="36" spans="2:5" x14ac:dyDescent="0.35">
      <c r="C36" t="s">
        <v>206</v>
      </c>
      <c r="E36" t="s">
        <v>207</v>
      </c>
    </row>
    <row r="37" spans="2:5" x14ac:dyDescent="0.35">
      <c r="E37" t="s">
        <v>208</v>
      </c>
    </row>
    <row r="38" spans="2:5" x14ac:dyDescent="0.35">
      <c r="C38" s="58" t="s">
        <v>209</v>
      </c>
    </row>
    <row r="39" spans="2:5" x14ac:dyDescent="0.35">
      <c r="C39" s="58" t="s">
        <v>210</v>
      </c>
      <c r="E39" t="s">
        <v>211</v>
      </c>
    </row>
    <row r="40" spans="2:5" x14ac:dyDescent="0.35">
      <c r="C40" s="58" t="s">
        <v>212</v>
      </c>
      <c r="E40" t="s">
        <v>213</v>
      </c>
    </row>
    <row r="41" spans="2:5" x14ac:dyDescent="0.35">
      <c r="C41" s="58" t="s">
        <v>214</v>
      </c>
    </row>
    <row r="42" spans="2:5" x14ac:dyDescent="0.35">
      <c r="C42" s="58" t="s">
        <v>215</v>
      </c>
      <c r="E42" t="s">
        <v>216</v>
      </c>
    </row>
    <row r="43" spans="2:5" x14ac:dyDescent="0.35">
      <c r="C43" s="58" t="s">
        <v>217</v>
      </c>
    </row>
    <row r="51" spans="2:3" x14ac:dyDescent="0.35">
      <c r="B51" t="s">
        <v>218</v>
      </c>
    </row>
    <row r="54" spans="2:3" x14ac:dyDescent="0.35">
      <c r="B54" t="s">
        <v>93</v>
      </c>
      <c r="C54" s="15"/>
    </row>
    <row r="55" spans="2:3" x14ac:dyDescent="0.35">
      <c r="B55" t="s">
        <v>123</v>
      </c>
      <c r="C55" s="15"/>
    </row>
    <row r="56" spans="2:3" x14ac:dyDescent="0.35">
      <c r="B56" t="s">
        <v>124</v>
      </c>
      <c r="C56" s="15"/>
    </row>
    <row r="57" spans="2:3" x14ac:dyDescent="0.35">
      <c r="B57" t="s">
        <v>135</v>
      </c>
      <c r="C57" s="15"/>
    </row>
    <row r="58" spans="2:3" x14ac:dyDescent="0.35">
      <c r="B58" t="s">
        <v>87</v>
      </c>
    </row>
    <row r="59" spans="2:3" x14ac:dyDescent="0.35">
      <c r="B59" t="s">
        <v>106</v>
      </c>
    </row>
    <row r="60" spans="2:3" x14ac:dyDescent="0.35">
      <c r="B60" t="s">
        <v>120</v>
      </c>
    </row>
    <row r="61" spans="2:3" x14ac:dyDescent="0.35">
      <c r="B61" t="s">
        <v>105</v>
      </c>
    </row>
    <row r="62" spans="2:3" x14ac:dyDescent="0.35">
      <c r="B62" t="s">
        <v>94</v>
      </c>
    </row>
    <row r="63" spans="2:3" x14ac:dyDescent="0.35">
      <c r="B63" t="s">
        <v>117</v>
      </c>
    </row>
    <row r="64" spans="2:3" x14ac:dyDescent="0.35">
      <c r="B64" t="s">
        <v>141</v>
      </c>
    </row>
    <row r="65" spans="2:2" x14ac:dyDescent="0.35">
      <c r="B65" t="s">
        <v>142</v>
      </c>
    </row>
    <row r="66" spans="2:2" x14ac:dyDescent="0.35">
      <c r="B66" t="s">
        <v>95</v>
      </c>
    </row>
    <row r="67" spans="2:2" x14ac:dyDescent="0.35">
      <c r="B67" t="s">
        <v>119</v>
      </c>
    </row>
    <row r="68" spans="2:2" x14ac:dyDescent="0.35">
      <c r="B68" t="s">
        <v>143</v>
      </c>
    </row>
    <row r="69" spans="2:2" x14ac:dyDescent="0.35">
      <c r="B69" t="s">
        <v>158</v>
      </c>
    </row>
    <row r="70" spans="2:2" x14ac:dyDescent="0.35">
      <c r="B70" t="s">
        <v>101</v>
      </c>
    </row>
    <row r="71" spans="2:2" x14ac:dyDescent="0.35">
      <c r="B71" t="s">
        <v>121</v>
      </c>
    </row>
    <row r="72" spans="2:2" x14ac:dyDescent="0.35">
      <c r="B72" t="s">
        <v>153</v>
      </c>
    </row>
    <row r="73" spans="2:2" x14ac:dyDescent="0.35">
      <c r="B73" t="s">
        <v>170</v>
      </c>
    </row>
    <row r="74" spans="2:2" x14ac:dyDescent="0.35">
      <c r="B74" t="s">
        <v>102</v>
      </c>
    </row>
    <row r="75" spans="2:2" x14ac:dyDescent="0.35">
      <c r="B75" t="s">
        <v>138</v>
      </c>
    </row>
    <row r="76" spans="2:2" x14ac:dyDescent="0.35">
      <c r="B76" t="s">
        <v>160</v>
      </c>
    </row>
    <row r="77" spans="2:2" x14ac:dyDescent="0.35">
      <c r="B77" t="s">
        <v>167</v>
      </c>
    </row>
  </sheetData>
  <mergeCells count="4">
    <mergeCell ref="B2:B7"/>
    <mergeCell ref="B8:B18"/>
    <mergeCell ref="B19:B28"/>
    <mergeCell ref="B29:B3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BFF3-4E1E-49E1-98FD-A23BDAF7D960}">
  <dimension ref="A1:E56"/>
  <sheetViews>
    <sheetView topLeftCell="A43" zoomScale="117" workbookViewId="0">
      <selection activeCell="H49" sqref="H49"/>
    </sheetView>
  </sheetViews>
  <sheetFormatPr defaultRowHeight="14.5" x14ac:dyDescent="0.35"/>
  <cols>
    <col min="2" max="2" width="3.1796875" style="15" customWidth="1"/>
    <col min="3" max="3" width="37" bestFit="1" customWidth="1"/>
    <col min="4" max="4" width="8.81640625" style="4"/>
    <col min="5" max="5" width="13.453125" style="4" bestFit="1" customWidth="1"/>
  </cols>
  <sheetData>
    <row r="1" spans="1:5" ht="15" thickBot="1" x14ac:dyDescent="0.4">
      <c r="B1" s="15" t="s">
        <v>219</v>
      </c>
      <c r="C1" t="s">
        <v>220</v>
      </c>
      <c r="D1" s="4" t="s">
        <v>221</v>
      </c>
      <c r="E1" s="4" t="s">
        <v>222</v>
      </c>
    </row>
    <row r="2" spans="1:5" ht="14.5" customHeight="1" x14ac:dyDescent="0.35">
      <c r="A2" s="94" t="s">
        <v>223</v>
      </c>
      <c r="B2" s="16">
        <v>1</v>
      </c>
      <c r="C2" s="1" t="s">
        <v>224</v>
      </c>
      <c r="D2" s="10" t="s">
        <v>225</v>
      </c>
      <c r="E2" s="7" t="s">
        <v>225</v>
      </c>
    </row>
    <row r="3" spans="1:5" x14ac:dyDescent="0.35">
      <c r="A3" s="95"/>
      <c r="B3" s="17">
        <v>2</v>
      </c>
      <c r="C3" s="2" t="s">
        <v>226</v>
      </c>
      <c r="D3" s="12" t="s">
        <v>225</v>
      </c>
      <c r="E3" s="11" t="s">
        <v>225</v>
      </c>
    </row>
    <row r="4" spans="1:5" x14ac:dyDescent="0.35">
      <c r="A4" s="95"/>
      <c r="B4" s="17">
        <v>3</v>
      </c>
      <c r="C4" s="2" t="s">
        <v>227</v>
      </c>
      <c r="D4" s="12" t="s">
        <v>225</v>
      </c>
      <c r="E4" s="11" t="s">
        <v>225</v>
      </c>
    </row>
    <row r="5" spans="1:5" x14ac:dyDescent="0.35">
      <c r="A5" s="95"/>
      <c r="B5" s="17">
        <v>4</v>
      </c>
      <c r="C5" s="2" t="s">
        <v>228</v>
      </c>
      <c r="D5" s="12" t="s">
        <v>225</v>
      </c>
      <c r="E5" s="11"/>
    </row>
    <row r="6" spans="1:5" x14ac:dyDescent="0.35">
      <c r="A6" s="95"/>
      <c r="B6" s="17">
        <v>5</v>
      </c>
      <c r="C6" s="2" t="s">
        <v>229</v>
      </c>
      <c r="D6" s="12" t="s">
        <v>225</v>
      </c>
      <c r="E6" s="11"/>
    </row>
    <row r="7" spans="1:5" x14ac:dyDescent="0.35">
      <c r="A7" s="95"/>
      <c r="B7" s="17">
        <v>6</v>
      </c>
      <c r="C7" s="2" t="s">
        <v>230</v>
      </c>
      <c r="D7" s="12" t="s">
        <v>225</v>
      </c>
      <c r="E7" s="11" t="s">
        <v>231</v>
      </c>
    </row>
    <row r="8" spans="1:5" x14ac:dyDescent="0.35">
      <c r="A8" s="95"/>
      <c r="B8" s="17">
        <v>7</v>
      </c>
      <c r="C8" s="2" t="s">
        <v>232</v>
      </c>
      <c r="D8" s="12" t="s">
        <v>225</v>
      </c>
      <c r="E8" s="11"/>
    </row>
    <row r="9" spans="1:5" ht="15" thickBot="1" x14ac:dyDescent="0.4">
      <c r="A9" s="96"/>
      <c r="B9" s="18">
        <v>8</v>
      </c>
      <c r="C9" s="3" t="s">
        <v>233</v>
      </c>
      <c r="D9" s="12" t="s">
        <v>225</v>
      </c>
      <c r="E9" s="11" t="s">
        <v>231</v>
      </c>
    </row>
    <row r="10" spans="1:5" ht="14.5" customHeight="1" x14ac:dyDescent="0.35">
      <c r="A10" s="94" t="s">
        <v>234</v>
      </c>
      <c r="B10" s="16">
        <v>1</v>
      </c>
      <c r="C10" s="1" t="s">
        <v>235</v>
      </c>
      <c r="D10" s="10" t="s">
        <v>225</v>
      </c>
      <c r="E10" s="7"/>
    </row>
    <row r="11" spans="1:5" x14ac:dyDescent="0.35">
      <c r="A11" s="95"/>
      <c r="B11" s="17">
        <v>2</v>
      </c>
      <c r="C11" s="2" t="s">
        <v>236</v>
      </c>
      <c r="D11" s="12" t="s">
        <v>225</v>
      </c>
      <c r="E11" s="11" t="s">
        <v>225</v>
      </c>
    </row>
    <row r="12" spans="1:5" x14ac:dyDescent="0.35">
      <c r="A12" s="95"/>
      <c r="B12" s="17">
        <v>3</v>
      </c>
      <c r="C12" s="2" t="s">
        <v>237</v>
      </c>
      <c r="D12" s="12" t="s">
        <v>225</v>
      </c>
      <c r="E12" s="11" t="s">
        <v>225</v>
      </c>
    </row>
    <row r="13" spans="1:5" x14ac:dyDescent="0.35">
      <c r="A13" s="95"/>
      <c r="B13" s="17">
        <v>4</v>
      </c>
      <c r="C13" s="2" t="s">
        <v>238</v>
      </c>
      <c r="D13" s="12" t="s">
        <v>225</v>
      </c>
      <c r="E13" s="11" t="s">
        <v>231</v>
      </c>
    </row>
    <row r="14" spans="1:5" x14ac:dyDescent="0.35">
      <c r="A14" s="95"/>
      <c r="B14" s="17">
        <v>5</v>
      </c>
      <c r="C14" s="2" t="s">
        <v>239</v>
      </c>
      <c r="D14" s="12" t="s">
        <v>225</v>
      </c>
      <c r="E14" s="11" t="s">
        <v>225</v>
      </c>
    </row>
    <row r="15" spans="1:5" x14ac:dyDescent="0.35">
      <c r="A15" s="95"/>
      <c r="B15" s="17">
        <v>6</v>
      </c>
      <c r="C15" s="2" t="s">
        <v>240</v>
      </c>
      <c r="D15" s="12" t="s">
        <v>225</v>
      </c>
      <c r="E15" s="11"/>
    </row>
    <row r="16" spans="1:5" x14ac:dyDescent="0.35">
      <c r="A16" s="95"/>
      <c r="B16" s="17">
        <v>7</v>
      </c>
      <c r="C16" s="2" t="s">
        <v>241</v>
      </c>
      <c r="D16" s="12" t="s">
        <v>225</v>
      </c>
      <c r="E16" s="11"/>
    </row>
    <row r="17" spans="1:5" ht="15" thickBot="1" x14ac:dyDescent="0.4">
      <c r="A17" s="96"/>
      <c r="B17" s="18">
        <v>8</v>
      </c>
      <c r="C17" s="3" t="s">
        <v>242</v>
      </c>
      <c r="D17" s="14" t="s">
        <v>225</v>
      </c>
      <c r="E17" s="13"/>
    </row>
    <row r="18" spans="1:5" ht="14.5" customHeight="1" x14ac:dyDescent="0.35">
      <c r="A18" s="94" t="s">
        <v>243</v>
      </c>
      <c r="B18" s="16">
        <v>1</v>
      </c>
      <c r="C18" s="1" t="s">
        <v>244</v>
      </c>
      <c r="D18" s="10" t="s">
        <v>225</v>
      </c>
      <c r="E18" s="7" t="s">
        <v>225</v>
      </c>
    </row>
    <row r="19" spans="1:5" x14ac:dyDescent="0.35">
      <c r="A19" s="95"/>
      <c r="B19" s="17">
        <v>2</v>
      </c>
      <c r="C19" s="2" t="s">
        <v>245</v>
      </c>
      <c r="D19" s="12" t="s">
        <v>225</v>
      </c>
      <c r="E19" s="11" t="s">
        <v>225</v>
      </c>
    </row>
    <row r="20" spans="1:5" x14ac:dyDescent="0.35">
      <c r="A20" s="95"/>
      <c r="B20" s="17">
        <v>3</v>
      </c>
      <c r="C20" s="2" t="s">
        <v>246</v>
      </c>
      <c r="D20" s="12" t="s">
        <v>225</v>
      </c>
      <c r="E20" s="11" t="s">
        <v>225</v>
      </c>
    </row>
    <row r="21" spans="1:5" x14ac:dyDescent="0.35">
      <c r="A21" s="95"/>
      <c r="B21" s="17">
        <v>4</v>
      </c>
      <c r="C21" s="2" t="s">
        <v>247</v>
      </c>
      <c r="D21" s="12" t="s">
        <v>225</v>
      </c>
      <c r="E21" s="11" t="s">
        <v>225</v>
      </c>
    </row>
    <row r="22" spans="1:5" x14ac:dyDescent="0.35">
      <c r="A22" s="95"/>
      <c r="B22" s="17">
        <v>5</v>
      </c>
      <c r="C22" s="2" t="s">
        <v>248</v>
      </c>
      <c r="D22" s="12" t="s">
        <v>225</v>
      </c>
      <c r="E22" s="11"/>
    </row>
    <row r="23" spans="1:5" x14ac:dyDescent="0.35">
      <c r="A23" s="95"/>
      <c r="B23" s="17">
        <v>6</v>
      </c>
      <c r="C23" s="2" t="s">
        <v>249</v>
      </c>
      <c r="D23" s="12" t="s">
        <v>225</v>
      </c>
      <c r="E23" s="11" t="s">
        <v>231</v>
      </c>
    </row>
    <row r="24" spans="1:5" x14ac:dyDescent="0.35">
      <c r="A24" s="95"/>
      <c r="B24" s="17">
        <v>7</v>
      </c>
      <c r="C24" s="2" t="s">
        <v>250</v>
      </c>
      <c r="D24" s="12" t="s">
        <v>225</v>
      </c>
      <c r="E24" s="11"/>
    </row>
    <row r="25" spans="1:5" x14ac:dyDescent="0.35">
      <c r="A25" s="95"/>
      <c r="B25" s="17">
        <v>8</v>
      </c>
      <c r="C25" s="2" t="s">
        <v>251</v>
      </c>
      <c r="D25" s="12" t="s">
        <v>225</v>
      </c>
      <c r="E25" s="11" t="s">
        <v>231</v>
      </c>
    </row>
    <row r="26" spans="1:5" x14ac:dyDescent="0.35">
      <c r="A26" s="95"/>
      <c r="B26" s="17">
        <v>9</v>
      </c>
      <c r="C26" s="2" t="s">
        <v>252</v>
      </c>
      <c r="D26" s="12" t="s">
        <v>225</v>
      </c>
      <c r="E26" s="11" t="s">
        <v>231</v>
      </c>
    </row>
    <row r="27" spans="1:5" x14ac:dyDescent="0.35">
      <c r="A27" s="95"/>
      <c r="B27" s="17">
        <v>10</v>
      </c>
      <c r="C27" s="2" t="s">
        <v>253</v>
      </c>
      <c r="D27" s="19" t="s">
        <v>231</v>
      </c>
      <c r="E27" s="20" t="s">
        <v>231</v>
      </c>
    </row>
    <row r="28" spans="1:5" ht="15" thickBot="1" x14ac:dyDescent="0.4">
      <c r="A28" s="96"/>
      <c r="B28" s="18" t="s">
        <v>254</v>
      </c>
      <c r="C28" s="3" t="s">
        <v>255</v>
      </c>
      <c r="D28" s="21" t="s">
        <v>225</v>
      </c>
      <c r="E28" s="22" t="s">
        <v>231</v>
      </c>
    </row>
    <row r="29" spans="1:5" ht="15" thickBot="1" x14ac:dyDescent="0.4">
      <c r="A29" s="8" t="s">
        <v>256</v>
      </c>
      <c r="B29" s="23"/>
      <c r="C29" s="24"/>
      <c r="D29" s="25">
        <f>(COUNTIF(D2:D28,"Y")/(COUNTIF(D2:D28,"Y")+COUNTIF(D2:D28,"N")))</f>
        <v>0.96296296296296291</v>
      </c>
      <c r="E29" s="26">
        <f>(COUNTIF(E2:E28,"Y")/(COUNTIF(E2:E28,"Y")+COUNTIF(E2:E28,"N")))</f>
        <v>0.55555555555555558</v>
      </c>
    </row>
    <row r="32" spans="1:5" x14ac:dyDescent="0.35">
      <c r="C32" t="s">
        <v>257</v>
      </c>
    </row>
    <row r="33" spans="3:3" x14ac:dyDescent="0.35">
      <c r="C33" t="s">
        <v>86</v>
      </c>
    </row>
    <row r="34" spans="3:3" x14ac:dyDescent="0.35">
      <c r="C34" t="s">
        <v>99</v>
      </c>
    </row>
    <row r="35" spans="3:3" x14ac:dyDescent="0.35">
      <c r="C35" t="s">
        <v>100</v>
      </c>
    </row>
    <row r="36" spans="3:3" x14ac:dyDescent="0.35">
      <c r="C36" t="s">
        <v>88</v>
      </c>
    </row>
    <row r="37" spans="3:3" x14ac:dyDescent="0.35">
      <c r="C37" t="s">
        <v>108</v>
      </c>
    </row>
    <row r="38" spans="3:3" x14ac:dyDescent="0.35">
      <c r="C38" t="s">
        <v>109</v>
      </c>
    </row>
    <row r="39" spans="3:3" x14ac:dyDescent="0.35">
      <c r="C39" t="s">
        <v>89</v>
      </c>
    </row>
    <row r="40" spans="3:3" x14ac:dyDescent="0.35">
      <c r="C40" t="s">
        <v>110</v>
      </c>
    </row>
    <row r="41" spans="3:3" x14ac:dyDescent="0.35">
      <c r="C41" t="s">
        <v>111</v>
      </c>
    </row>
    <row r="42" spans="3:3" x14ac:dyDescent="0.35">
      <c r="C42" t="s">
        <v>51</v>
      </c>
    </row>
    <row r="43" spans="3:3" x14ac:dyDescent="0.35">
      <c r="C43" t="s">
        <v>113</v>
      </c>
    </row>
    <row r="44" spans="3:3" x14ac:dyDescent="0.35">
      <c r="C44" t="s">
        <v>66</v>
      </c>
    </row>
    <row r="45" spans="3:3" x14ac:dyDescent="0.35">
      <c r="C45" t="s">
        <v>61</v>
      </c>
    </row>
    <row r="46" spans="3:3" x14ac:dyDescent="0.35">
      <c r="C46" t="s">
        <v>62</v>
      </c>
    </row>
    <row r="47" spans="3:3" x14ac:dyDescent="0.35">
      <c r="C47" t="s">
        <v>75</v>
      </c>
    </row>
    <row r="48" spans="3:3" x14ac:dyDescent="0.35">
      <c r="C48" t="s">
        <v>96</v>
      </c>
    </row>
    <row r="49" spans="3:3" x14ac:dyDescent="0.35">
      <c r="C49" t="s">
        <v>126</v>
      </c>
    </row>
    <row r="50" spans="3:3" x14ac:dyDescent="0.35">
      <c r="C50" t="s">
        <v>134</v>
      </c>
    </row>
    <row r="51" spans="3:3" x14ac:dyDescent="0.35">
      <c r="C51" t="s">
        <v>82</v>
      </c>
    </row>
    <row r="52" spans="3:3" x14ac:dyDescent="0.35">
      <c r="C52" t="s">
        <v>131</v>
      </c>
    </row>
    <row r="53" spans="3:3" x14ac:dyDescent="0.35">
      <c r="C53" t="s">
        <v>152</v>
      </c>
    </row>
    <row r="54" spans="3:3" x14ac:dyDescent="0.35">
      <c r="C54" t="s">
        <v>97</v>
      </c>
    </row>
    <row r="55" spans="3:3" x14ac:dyDescent="0.35">
      <c r="C55" t="s">
        <v>132</v>
      </c>
    </row>
    <row r="56" spans="3:3" x14ac:dyDescent="0.35">
      <c r="C56" t="s">
        <v>161</v>
      </c>
    </row>
  </sheetData>
  <mergeCells count="3">
    <mergeCell ref="A2:A9"/>
    <mergeCell ref="A10:A17"/>
    <mergeCell ref="A18:A28"/>
  </mergeCells>
  <phoneticPr fontId="2" type="noConversion"/>
  <conditionalFormatting sqref="D2:E28">
    <cfRule type="containsText" dxfId="1" priority="2" operator="containsText" text="N">
      <formula>NOT(ISERROR(SEARCH("N",D2)))</formula>
    </cfRule>
    <cfRule type="containsText" dxfId="0" priority="3" operator="containsText" text="Y">
      <formula>NOT(ISERROR(SEARCH("Y",D2)))</formula>
    </cfRule>
  </conditionalFormatting>
  <conditionalFormatting sqref="D29:E29">
    <cfRule type="colorScale" priority="1">
      <colorScale>
        <cfvo type="num" val="0"/>
        <cfvo type="num" val="0.5"/>
        <cfvo type="num" val="1"/>
        <color rgb="FFFF0000"/>
        <color rgb="FFFFC00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B532-5BCA-4805-8C1C-F5BF30D0ACB9}">
  <dimension ref="B2:B34"/>
  <sheetViews>
    <sheetView topLeftCell="A5" zoomScale="70" workbookViewId="0">
      <selection activeCell="E16" sqref="E16"/>
    </sheetView>
  </sheetViews>
  <sheetFormatPr defaultRowHeight="14.5" x14ac:dyDescent="0.35"/>
  <cols>
    <col min="2" max="2" width="23.81640625" customWidth="1"/>
  </cols>
  <sheetData>
    <row r="2" spans="2:2" x14ac:dyDescent="0.35">
      <c r="B2" t="s">
        <v>258</v>
      </c>
    </row>
    <row r="4" spans="2:2" x14ac:dyDescent="0.35">
      <c r="B4" t="s">
        <v>259</v>
      </c>
    </row>
    <row r="5" spans="2:2" x14ac:dyDescent="0.35">
      <c r="B5" t="s">
        <v>260</v>
      </c>
    </row>
    <row r="6" spans="2:2" x14ac:dyDescent="0.35">
      <c r="B6" t="s">
        <v>261</v>
      </c>
    </row>
    <row r="7" spans="2:2" x14ac:dyDescent="0.35">
      <c r="B7" t="s">
        <v>262</v>
      </c>
    </row>
    <row r="8" spans="2:2" x14ac:dyDescent="0.35">
      <c r="B8" t="s">
        <v>263</v>
      </c>
    </row>
    <row r="9" spans="2:2" x14ac:dyDescent="0.35">
      <c r="B9" t="s">
        <v>264</v>
      </c>
    </row>
    <row r="10" spans="2:2" x14ac:dyDescent="0.35">
      <c r="B10" t="s">
        <v>57</v>
      </c>
    </row>
    <row r="11" spans="2:2" x14ac:dyDescent="0.35">
      <c r="B11" t="s">
        <v>55</v>
      </c>
    </row>
    <row r="12" spans="2:2" x14ac:dyDescent="0.35">
      <c r="B12" t="s">
        <v>63</v>
      </c>
    </row>
    <row r="13" spans="2:2" x14ac:dyDescent="0.35">
      <c r="B13" t="s">
        <v>64</v>
      </c>
    </row>
    <row r="14" spans="2:2" x14ac:dyDescent="0.35">
      <c r="B14" t="s">
        <v>265</v>
      </c>
    </row>
    <row r="15" spans="2:2" x14ac:dyDescent="0.35">
      <c r="B15" t="s">
        <v>266</v>
      </c>
    </row>
    <row r="16" spans="2:2" x14ac:dyDescent="0.35">
      <c r="B16" t="s">
        <v>65</v>
      </c>
    </row>
    <row r="17" spans="2:2" x14ac:dyDescent="0.35">
      <c r="B17" t="s">
        <v>267</v>
      </c>
    </row>
    <row r="18" spans="2:2" x14ac:dyDescent="0.35">
      <c r="B18" t="s">
        <v>67</v>
      </c>
    </row>
    <row r="19" spans="2:2" x14ac:dyDescent="0.35">
      <c r="B19" t="s">
        <v>83</v>
      </c>
    </row>
    <row r="20" spans="2:2" x14ac:dyDescent="0.35">
      <c r="B20" t="s">
        <v>268</v>
      </c>
    </row>
    <row r="21" spans="2:2" x14ac:dyDescent="0.35">
      <c r="B21" t="s">
        <v>269</v>
      </c>
    </row>
    <row r="22" spans="2:2" x14ac:dyDescent="0.35">
      <c r="B22" t="s">
        <v>270</v>
      </c>
    </row>
    <row r="23" spans="2:2" x14ac:dyDescent="0.35">
      <c r="B23" t="s">
        <v>271</v>
      </c>
    </row>
    <row r="24" spans="2:2" x14ac:dyDescent="0.35">
      <c r="B24" t="s">
        <v>127</v>
      </c>
    </row>
    <row r="25" spans="2:2" x14ac:dyDescent="0.35">
      <c r="B25" t="s">
        <v>128</v>
      </c>
    </row>
    <row r="26" spans="2:2" x14ac:dyDescent="0.35">
      <c r="B26" t="s">
        <v>136</v>
      </c>
    </row>
    <row r="27" spans="2:2" x14ac:dyDescent="0.35">
      <c r="B27" t="s">
        <v>137</v>
      </c>
    </row>
    <row r="28" spans="2:2" x14ac:dyDescent="0.35">
      <c r="B28" t="s">
        <v>115</v>
      </c>
    </row>
    <row r="29" spans="2:2" x14ac:dyDescent="0.35">
      <c r="B29" t="s">
        <v>112</v>
      </c>
    </row>
    <row r="30" spans="2:2" x14ac:dyDescent="0.35">
      <c r="B30" t="s">
        <v>145</v>
      </c>
    </row>
    <row r="31" spans="2:2" x14ac:dyDescent="0.35">
      <c r="B31" t="s">
        <v>272</v>
      </c>
    </row>
    <row r="32" spans="2:2" x14ac:dyDescent="0.35">
      <c r="B32" t="s">
        <v>144</v>
      </c>
    </row>
    <row r="33" spans="2:2" x14ac:dyDescent="0.35">
      <c r="B33" t="s">
        <v>165</v>
      </c>
    </row>
    <row r="34" spans="2:2" x14ac:dyDescent="0.35">
      <c r="B34" t="s">
        <v>149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Revision Timetable</vt:lpstr>
      <vt:lpstr>Further Maths Topics</vt:lpstr>
      <vt:lpstr>Physics Topics</vt:lpstr>
      <vt:lpstr>CS Topics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Roberts, Charlie (13HW)</dc:creator>
  <cp:keywords/>
  <dc:description/>
  <cp:lastModifiedBy>Roberts, Charlie (13HW)</cp:lastModifiedBy>
  <cp:revision/>
  <dcterms:created xsi:type="dcterms:W3CDTF">2025-03-26T12:22:40Z</dcterms:created>
  <dcterms:modified xsi:type="dcterms:W3CDTF">2025-06-17T13:14:31Z</dcterms:modified>
  <cp:category/>
  <cp:contentStatus/>
</cp:coreProperties>
</file>